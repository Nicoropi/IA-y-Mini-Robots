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<sst xmlns="http://schemas.openxmlformats.org/spreadsheetml/2006/main" count="14" uniqueCount="13">
  <si>
    <t xml:space="preserve">Poblacion </t>
  </si>
  <si>
    <t>decimal</t>
  </si>
  <si>
    <t>Aptitud</t>
  </si>
  <si>
    <t>Probabilidad de selección</t>
  </si>
  <si>
    <t>Nuevos padres</t>
  </si>
  <si>
    <t>población de padres seleccionados</t>
  </si>
  <si>
    <t>Cruce</t>
  </si>
  <si>
    <t>Bits de cruce</t>
  </si>
  <si>
    <t>Mutacion</t>
  </si>
  <si>
    <t>Generacion 2</t>
  </si>
  <si>
    <t>x</t>
  </si>
  <si>
    <t>Aptitud generacion 1</t>
  </si>
  <si>
    <t>Aptitud generacion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</si>
</sst>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2" t="s">
        <v>1</v>
      </c>
      <c r="J1" s="2" t="s">
        <v>2</v>
      </c>
      <c r="K1" s="2" t="s">
        <v>3</v>
      </c>
      <c r="N1" s="2" t="s">
        <v>4</v>
      </c>
      <c r="O1" s="1" t="s">
        <v>5</v>
      </c>
      <c r="W1" s="2" t="s">
        <v>6</v>
      </c>
    </row>
    <row r="2">
      <c r="A2" s="3">
        <f t="shared" ref="A2:H2" si="1">RANDBETWEEN(0,1)</f>
        <v>0</v>
      </c>
      <c r="B2" s="3">
        <f t="shared" si="1"/>
        <v>1</v>
      </c>
      <c r="C2" s="3">
        <f t="shared" si="1"/>
        <v>0</v>
      </c>
      <c r="D2" s="3">
        <f t="shared" si="1"/>
        <v>1</v>
      </c>
      <c r="E2" s="3">
        <f t="shared" si="1"/>
        <v>0</v>
      </c>
      <c r="F2" s="3">
        <f t="shared" si="1"/>
        <v>1</v>
      </c>
      <c r="G2" s="3">
        <f t="shared" si="1"/>
        <v>1</v>
      </c>
      <c r="H2" s="3">
        <f t="shared" si="1"/>
        <v>1</v>
      </c>
      <c r="I2" s="4">
        <f t="shared" ref="I2:I9" si="3">A2*128+B2*64+C2*32+D2*16+E2*8+F2*4+G2*2+H2*1</f>
        <v>87</v>
      </c>
      <c r="J2" s="4">
        <f t="shared" ref="J2:J9" si="4">(I2/255)*SIN(10*PI()*(I2/255))+1</f>
        <v>0.6718477217</v>
      </c>
      <c r="K2" s="4">
        <f t="shared" ref="K2:K9" si="5">J2/SUM($J$2:$J$9)</f>
        <v>0.07471257008</v>
      </c>
      <c r="L2" s="4">
        <f>0</f>
        <v>0</v>
      </c>
      <c r="M2" s="4">
        <f t="shared" ref="M2:M9" si="6">RAND()</f>
        <v>0.6004462358</v>
      </c>
      <c r="N2" s="4">
        <f t="shared" ref="N2:N9" si="7">MATCH(M2,$L$2:$L$9,1)</f>
        <v>6</v>
      </c>
      <c r="O2" s="4">
        <f t="shared" ref="O2:O9" si="8">INDEX($A$2:$A$9,$N2)</f>
        <v>0</v>
      </c>
      <c r="P2" s="4">
        <f t="shared" ref="P2:P9" si="9">INDEX($B$2:$B$9,$N2)</f>
        <v>1</v>
      </c>
      <c r="Q2" s="4">
        <f t="shared" ref="Q2:Q9" si="10">INDEX($C$2:$C$9,$N2)</f>
        <v>1</v>
      </c>
      <c r="R2" s="4">
        <f t="shared" ref="R2:R9" si="11">INDEX($D$2:$D$9,$N2)</f>
        <v>0</v>
      </c>
      <c r="S2" s="4">
        <f t="shared" ref="S2:S9" si="12">INDEX($E$2:$E$9,$N2)</f>
        <v>1</v>
      </c>
      <c r="T2" s="4">
        <f t="shared" ref="T2:T9" si="13">INDEX($F$2:$F$9,$N2)</f>
        <v>1</v>
      </c>
      <c r="U2" s="4">
        <f t="shared" ref="U2:U9" si="14">INDEX($G$2:$G$9,$N2)</f>
        <v>1</v>
      </c>
      <c r="V2" s="4">
        <f t="shared" ref="V2:V9" si="15">INDEX($H$2:$H$9,$N2)</f>
        <v>1</v>
      </c>
      <c r="W2" s="4">
        <f>RANDBETWEEN(1,7)</f>
        <v>6</v>
      </c>
    </row>
    <row r="3">
      <c r="A3" s="3">
        <f t="shared" ref="A3:H3" si="2">RANDBETWEEN(0,1)</f>
        <v>1</v>
      </c>
      <c r="B3" s="3">
        <f t="shared" si="2"/>
        <v>1</v>
      </c>
      <c r="C3" s="3">
        <f t="shared" si="2"/>
        <v>1</v>
      </c>
      <c r="D3" s="3">
        <f t="shared" si="2"/>
        <v>1</v>
      </c>
      <c r="E3" s="3">
        <f t="shared" si="2"/>
        <v>0</v>
      </c>
      <c r="F3" s="3">
        <f t="shared" si="2"/>
        <v>1</v>
      </c>
      <c r="G3" s="3">
        <f t="shared" si="2"/>
        <v>0</v>
      </c>
      <c r="H3" s="3">
        <f t="shared" si="2"/>
        <v>0</v>
      </c>
      <c r="I3" s="4">
        <f t="shared" si="3"/>
        <v>244</v>
      </c>
      <c r="J3" s="4">
        <f t="shared" si="4"/>
        <v>0.06529023712</v>
      </c>
      <c r="K3" s="4">
        <f t="shared" si="5"/>
        <v>0.007260575959</v>
      </c>
      <c r="L3" s="4">
        <f t="shared" ref="L3:L9" si="17">L2+K2</f>
        <v>0.07471257008</v>
      </c>
      <c r="M3" s="4">
        <f t="shared" si="6"/>
        <v>0.1453686776</v>
      </c>
      <c r="N3" s="4">
        <f t="shared" si="7"/>
        <v>3</v>
      </c>
      <c r="O3" s="4">
        <f t="shared" si="8"/>
        <v>0</v>
      </c>
      <c r="P3" s="4">
        <f t="shared" si="9"/>
        <v>1</v>
      </c>
      <c r="Q3" s="4">
        <f t="shared" si="10"/>
        <v>1</v>
      </c>
      <c r="R3" s="4">
        <f t="shared" si="11"/>
        <v>1</v>
      </c>
      <c r="S3" s="4">
        <f t="shared" si="12"/>
        <v>0</v>
      </c>
      <c r="T3" s="4">
        <f t="shared" si="13"/>
        <v>1</v>
      </c>
      <c r="U3" s="4">
        <f t="shared" si="14"/>
        <v>0</v>
      </c>
      <c r="V3" s="4">
        <f t="shared" si="15"/>
        <v>0</v>
      </c>
      <c r="W3" s="4">
        <f>W2</f>
        <v>6</v>
      </c>
    </row>
    <row r="4">
      <c r="A4" s="3">
        <f t="shared" ref="A4:H4" si="16">RANDBETWEEN(0,1)</f>
        <v>0</v>
      </c>
      <c r="B4" s="3">
        <f t="shared" si="16"/>
        <v>1</v>
      </c>
      <c r="C4" s="3">
        <f t="shared" si="16"/>
        <v>1</v>
      </c>
      <c r="D4" s="3">
        <f t="shared" si="16"/>
        <v>1</v>
      </c>
      <c r="E4" s="3">
        <f t="shared" si="16"/>
        <v>0</v>
      </c>
      <c r="F4" s="3">
        <f t="shared" si="16"/>
        <v>1</v>
      </c>
      <c r="G4" s="3">
        <f t="shared" si="16"/>
        <v>0</v>
      </c>
      <c r="H4" s="3">
        <f t="shared" si="16"/>
        <v>0</v>
      </c>
      <c r="I4" s="4">
        <f t="shared" si="3"/>
        <v>116</v>
      </c>
      <c r="J4" s="4">
        <f t="shared" si="4"/>
        <v>1.449518411</v>
      </c>
      <c r="K4" s="4">
        <f t="shared" si="5"/>
        <v>0.1611931429</v>
      </c>
      <c r="L4" s="4">
        <f t="shared" si="17"/>
        <v>0.08197314603</v>
      </c>
      <c r="M4" s="4">
        <f t="shared" si="6"/>
        <v>0.6513442667</v>
      </c>
      <c r="N4" s="4">
        <f t="shared" si="7"/>
        <v>6</v>
      </c>
      <c r="O4" s="4">
        <f t="shared" si="8"/>
        <v>0</v>
      </c>
      <c r="P4" s="4">
        <f t="shared" si="9"/>
        <v>1</v>
      </c>
      <c r="Q4" s="4">
        <f t="shared" si="10"/>
        <v>1</v>
      </c>
      <c r="R4" s="4">
        <f t="shared" si="11"/>
        <v>0</v>
      </c>
      <c r="S4" s="4">
        <f t="shared" si="12"/>
        <v>1</v>
      </c>
      <c r="T4" s="4">
        <f t="shared" si="13"/>
        <v>1</v>
      </c>
      <c r="U4" s="4">
        <f t="shared" si="14"/>
        <v>1</v>
      </c>
      <c r="V4" s="4">
        <f t="shared" si="15"/>
        <v>1</v>
      </c>
      <c r="W4" s="4">
        <f>RANDBETWEEN(1,7)</f>
        <v>2</v>
      </c>
    </row>
    <row r="5">
      <c r="A5" s="3">
        <f t="shared" ref="A5:H5" si="18">RANDBETWEEN(0,1)</f>
        <v>1</v>
      </c>
      <c r="B5" s="3">
        <f t="shared" si="18"/>
        <v>1</v>
      </c>
      <c r="C5" s="3">
        <f t="shared" si="18"/>
        <v>0</v>
      </c>
      <c r="D5" s="3">
        <f t="shared" si="18"/>
        <v>1</v>
      </c>
      <c r="E5" s="3">
        <f t="shared" si="18"/>
        <v>1</v>
      </c>
      <c r="F5" s="3">
        <f t="shared" si="18"/>
        <v>0</v>
      </c>
      <c r="G5" s="3">
        <f t="shared" si="18"/>
        <v>0</v>
      </c>
      <c r="H5" s="3">
        <f t="shared" si="18"/>
        <v>1</v>
      </c>
      <c r="I5" s="4">
        <f t="shared" si="3"/>
        <v>217</v>
      </c>
      <c r="J5" s="4">
        <f t="shared" si="4"/>
        <v>1.850576789</v>
      </c>
      <c r="K5" s="4">
        <f t="shared" si="5"/>
        <v>0.2057926872</v>
      </c>
      <c r="L5" s="4">
        <f t="shared" si="17"/>
        <v>0.243166289</v>
      </c>
      <c r="M5" s="4">
        <f t="shared" si="6"/>
        <v>0.08846858578</v>
      </c>
      <c r="N5" s="4">
        <f t="shared" si="7"/>
        <v>3</v>
      </c>
      <c r="O5" s="4">
        <f t="shared" si="8"/>
        <v>0</v>
      </c>
      <c r="P5" s="4">
        <f t="shared" si="9"/>
        <v>1</v>
      </c>
      <c r="Q5" s="4">
        <f t="shared" si="10"/>
        <v>1</v>
      </c>
      <c r="R5" s="4">
        <f t="shared" si="11"/>
        <v>1</v>
      </c>
      <c r="S5" s="4">
        <f t="shared" si="12"/>
        <v>0</v>
      </c>
      <c r="T5" s="4">
        <f t="shared" si="13"/>
        <v>1</v>
      </c>
      <c r="U5" s="4">
        <f t="shared" si="14"/>
        <v>0</v>
      </c>
      <c r="V5" s="4">
        <f t="shared" si="15"/>
        <v>0</v>
      </c>
      <c r="W5" s="4">
        <f>W4</f>
        <v>2</v>
      </c>
    </row>
    <row r="6">
      <c r="A6" s="3">
        <f t="shared" ref="A6:H6" si="19">RANDBETWEEN(0,1)</f>
        <v>0</v>
      </c>
      <c r="B6" s="3">
        <f t="shared" si="19"/>
        <v>1</v>
      </c>
      <c r="C6" s="3">
        <f t="shared" si="19"/>
        <v>1</v>
      </c>
      <c r="D6" s="3">
        <f t="shared" si="19"/>
        <v>1</v>
      </c>
      <c r="E6" s="3">
        <f t="shared" si="19"/>
        <v>1</v>
      </c>
      <c r="F6" s="3">
        <f t="shared" si="19"/>
        <v>1</v>
      </c>
      <c r="G6" s="3">
        <f t="shared" si="19"/>
        <v>1</v>
      </c>
      <c r="H6" s="3">
        <f t="shared" si="19"/>
        <v>0</v>
      </c>
      <c r="I6" s="4">
        <f t="shared" si="3"/>
        <v>126</v>
      </c>
      <c r="J6" s="4">
        <f t="shared" si="4"/>
        <v>1.090793879</v>
      </c>
      <c r="K6" s="4">
        <f t="shared" si="5"/>
        <v>0.121301318</v>
      </c>
      <c r="L6" s="4">
        <f t="shared" si="17"/>
        <v>0.4489589761</v>
      </c>
      <c r="M6" s="4">
        <f t="shared" si="6"/>
        <v>0.1278872696</v>
      </c>
      <c r="N6" s="4">
        <f t="shared" si="7"/>
        <v>3</v>
      </c>
      <c r="O6" s="4">
        <f t="shared" si="8"/>
        <v>0</v>
      </c>
      <c r="P6" s="4">
        <f t="shared" si="9"/>
        <v>1</v>
      </c>
      <c r="Q6" s="4">
        <f t="shared" si="10"/>
        <v>1</v>
      </c>
      <c r="R6" s="4">
        <f t="shared" si="11"/>
        <v>1</v>
      </c>
      <c r="S6" s="4">
        <f t="shared" si="12"/>
        <v>0</v>
      </c>
      <c r="T6" s="4">
        <f t="shared" si="13"/>
        <v>1</v>
      </c>
      <c r="U6" s="4">
        <f t="shared" si="14"/>
        <v>0</v>
      </c>
      <c r="V6" s="4">
        <f t="shared" si="15"/>
        <v>0</v>
      </c>
      <c r="W6" s="4">
        <f>RANDBETWEEN(1,7)</f>
        <v>5</v>
      </c>
    </row>
    <row r="7">
      <c r="A7" s="3">
        <f t="shared" ref="A7:H7" si="20">RANDBETWEEN(0,1)</f>
        <v>0</v>
      </c>
      <c r="B7" s="3">
        <f t="shared" si="20"/>
        <v>1</v>
      </c>
      <c r="C7" s="3">
        <f t="shared" si="20"/>
        <v>1</v>
      </c>
      <c r="D7" s="3">
        <f t="shared" si="20"/>
        <v>0</v>
      </c>
      <c r="E7" s="3">
        <f t="shared" si="20"/>
        <v>1</v>
      </c>
      <c r="F7" s="3">
        <f t="shared" si="20"/>
        <v>1</v>
      </c>
      <c r="G7" s="3">
        <f t="shared" si="20"/>
        <v>1</v>
      </c>
      <c r="H7" s="3">
        <f t="shared" si="20"/>
        <v>1</v>
      </c>
      <c r="I7" s="4">
        <f t="shared" si="3"/>
        <v>111</v>
      </c>
      <c r="J7" s="4">
        <f t="shared" si="4"/>
        <v>1.389659315</v>
      </c>
      <c r="K7" s="4">
        <f t="shared" si="5"/>
        <v>0.154536535</v>
      </c>
      <c r="L7" s="4">
        <f t="shared" si="17"/>
        <v>0.5702602942</v>
      </c>
      <c r="M7" s="4">
        <f t="shared" si="6"/>
        <v>0.9120019219</v>
      </c>
      <c r="N7" s="4">
        <f t="shared" si="7"/>
        <v>8</v>
      </c>
      <c r="O7" s="4">
        <f t="shared" si="8"/>
        <v>1</v>
      </c>
      <c r="P7" s="4">
        <f t="shared" si="9"/>
        <v>1</v>
      </c>
      <c r="Q7" s="4">
        <f t="shared" si="10"/>
        <v>0</v>
      </c>
      <c r="R7" s="4">
        <f t="shared" si="11"/>
        <v>1</v>
      </c>
      <c r="S7" s="4">
        <f t="shared" si="12"/>
        <v>1</v>
      </c>
      <c r="T7" s="4">
        <f t="shared" si="13"/>
        <v>1</v>
      </c>
      <c r="U7" s="4">
        <f t="shared" si="14"/>
        <v>0</v>
      </c>
      <c r="V7" s="4">
        <f t="shared" si="15"/>
        <v>1</v>
      </c>
      <c r="W7" s="4">
        <f>W6</f>
        <v>5</v>
      </c>
    </row>
    <row r="8">
      <c r="A8" s="3">
        <f t="shared" ref="A8:H8" si="21">RANDBETWEEN(0,1)</f>
        <v>1</v>
      </c>
      <c r="B8" s="3">
        <f t="shared" si="21"/>
        <v>1</v>
      </c>
      <c r="C8" s="3">
        <f t="shared" si="21"/>
        <v>1</v>
      </c>
      <c r="D8" s="3">
        <f t="shared" si="21"/>
        <v>0</v>
      </c>
      <c r="E8" s="3">
        <f t="shared" si="21"/>
        <v>1</v>
      </c>
      <c r="F8" s="3">
        <f t="shared" si="21"/>
        <v>0</v>
      </c>
      <c r="G8" s="3">
        <f t="shared" si="21"/>
        <v>0</v>
      </c>
      <c r="H8" s="3">
        <f t="shared" si="21"/>
        <v>0</v>
      </c>
      <c r="I8" s="4">
        <f t="shared" si="3"/>
        <v>232</v>
      </c>
      <c r="J8" s="4">
        <f t="shared" si="4"/>
        <v>0.7241905083</v>
      </c>
      <c r="K8" s="4">
        <f t="shared" si="5"/>
        <v>0.08053332972</v>
      </c>
      <c r="L8" s="4">
        <f t="shared" si="17"/>
        <v>0.7247968291</v>
      </c>
      <c r="M8" s="4">
        <f t="shared" si="6"/>
        <v>0.02805243652</v>
      </c>
      <c r="N8" s="4">
        <f t="shared" si="7"/>
        <v>1</v>
      </c>
      <c r="O8" s="4">
        <f t="shared" si="8"/>
        <v>0</v>
      </c>
      <c r="P8" s="4">
        <f t="shared" si="9"/>
        <v>1</v>
      </c>
      <c r="Q8" s="4">
        <f t="shared" si="10"/>
        <v>0</v>
      </c>
      <c r="R8" s="4">
        <f t="shared" si="11"/>
        <v>1</v>
      </c>
      <c r="S8" s="4">
        <f t="shared" si="12"/>
        <v>0</v>
      </c>
      <c r="T8" s="4">
        <f t="shared" si="13"/>
        <v>1</v>
      </c>
      <c r="U8" s="4">
        <f t="shared" si="14"/>
        <v>1</v>
      </c>
      <c r="V8" s="4">
        <f t="shared" si="15"/>
        <v>1</v>
      </c>
      <c r="W8" s="4">
        <f>RANDBETWEEN(1,7)</f>
        <v>7</v>
      </c>
    </row>
    <row r="9">
      <c r="A9" s="3">
        <f t="shared" ref="A9:H9" si="22">RANDBETWEEN(0,1)</f>
        <v>1</v>
      </c>
      <c r="B9" s="3">
        <f t="shared" si="22"/>
        <v>1</v>
      </c>
      <c r="C9" s="3">
        <f t="shared" si="22"/>
        <v>0</v>
      </c>
      <c r="D9" s="3">
        <f t="shared" si="22"/>
        <v>1</v>
      </c>
      <c r="E9" s="3">
        <f t="shared" si="22"/>
        <v>1</v>
      </c>
      <c r="F9" s="3">
        <f t="shared" si="22"/>
        <v>1</v>
      </c>
      <c r="G9" s="3">
        <f t="shared" si="22"/>
        <v>0</v>
      </c>
      <c r="H9" s="3">
        <f t="shared" si="22"/>
        <v>1</v>
      </c>
      <c r="I9" s="4">
        <f t="shared" si="3"/>
        <v>221</v>
      </c>
      <c r="J9" s="4">
        <f t="shared" si="4"/>
        <v>1.75055535</v>
      </c>
      <c r="K9" s="4">
        <f t="shared" si="5"/>
        <v>0.1946698411</v>
      </c>
      <c r="L9" s="4">
        <f t="shared" si="17"/>
        <v>0.8053301589</v>
      </c>
      <c r="M9" s="4">
        <f t="shared" si="6"/>
        <v>0.3175095178</v>
      </c>
      <c r="N9" s="4">
        <f t="shared" si="7"/>
        <v>4</v>
      </c>
      <c r="O9" s="4">
        <f t="shared" si="8"/>
        <v>1</v>
      </c>
      <c r="P9" s="4">
        <f t="shared" si="9"/>
        <v>1</v>
      </c>
      <c r="Q9" s="4">
        <f t="shared" si="10"/>
        <v>0</v>
      </c>
      <c r="R9" s="4">
        <f t="shared" si="11"/>
        <v>1</v>
      </c>
      <c r="S9" s="4">
        <f t="shared" si="12"/>
        <v>1</v>
      </c>
      <c r="T9" s="4">
        <f t="shared" si="13"/>
        <v>0</v>
      </c>
      <c r="U9" s="4">
        <f t="shared" si="14"/>
        <v>0</v>
      </c>
      <c r="V9" s="4">
        <f t="shared" si="15"/>
        <v>1</v>
      </c>
      <c r="W9" s="4">
        <f>W8</f>
        <v>7</v>
      </c>
    </row>
    <row r="11">
      <c r="O11" s="1" t="s">
        <v>7</v>
      </c>
    </row>
    <row r="12">
      <c r="O12" s="4">
        <f>IF(1&lt;=$W2,O2,O3)</f>
        <v>0</v>
      </c>
      <c r="P12" s="4">
        <f>IF(2&lt;=$W2,P2,P3)</f>
        <v>1</v>
      </c>
      <c r="Q12" s="4">
        <f>IF(3&lt;=$W2,Q2,Q3)</f>
        <v>1</v>
      </c>
      <c r="R12" s="4">
        <f>IF(4&lt;=$W2,R2,R3)</f>
        <v>0</v>
      </c>
      <c r="S12" s="4">
        <f>IF(5&lt;=$W2,S2,S3)</f>
        <v>1</v>
      </c>
      <c r="T12" s="4">
        <f>IF(6&lt;=$W2,T2,T3)</f>
        <v>1</v>
      </c>
      <c r="U12" s="4">
        <f>IF(7&lt;=$W2,U2,U3)</f>
        <v>0</v>
      </c>
      <c r="V12" s="4">
        <f>IF(8&lt;=$W2,V2,V3)</f>
        <v>0</v>
      </c>
    </row>
    <row r="13">
      <c r="O13" s="4">
        <f>IF(1&lt;=$W3,O3,O2)</f>
        <v>0</v>
      </c>
      <c r="P13" s="4">
        <f>IF(2&lt;=$W3,P3,P2)</f>
        <v>1</v>
      </c>
      <c r="Q13" s="4">
        <f>IF(3&lt;=$W3,Q3,Q2)</f>
        <v>1</v>
      </c>
      <c r="R13" s="4">
        <f>IF(4&lt;=$W3,R3,R2)</f>
        <v>1</v>
      </c>
      <c r="S13" s="4">
        <f>IF(5&lt;=$W3,S3,S2)</f>
        <v>0</v>
      </c>
      <c r="T13" s="4">
        <f>IF(6&lt;=$W3,T3,T2)</f>
        <v>1</v>
      </c>
      <c r="U13" s="4">
        <f>IF(7&lt;=$W3,U3,U2)</f>
        <v>1</v>
      </c>
      <c r="V13" s="4">
        <f>IF(8&lt;=$W3,V3,V2)</f>
        <v>1</v>
      </c>
    </row>
    <row r="14">
      <c r="O14" s="4">
        <f>IF(1&lt;=$W4,O4,O5)</f>
        <v>0</v>
      </c>
      <c r="P14" s="4">
        <f>IF(2&lt;=$W4,P4,P5)</f>
        <v>1</v>
      </c>
      <c r="Q14" s="4">
        <f>IF(3&lt;=$W4,Q4,Q5)</f>
        <v>1</v>
      </c>
      <c r="R14" s="4">
        <f>IF(4&lt;=$W4,R4,R5)</f>
        <v>1</v>
      </c>
      <c r="S14" s="4">
        <f>IF(5&lt;=$W4,S4,S5)</f>
        <v>0</v>
      </c>
      <c r="T14" s="4">
        <f>IF(6&lt;=$W4,T4,T5)</f>
        <v>1</v>
      </c>
      <c r="U14" s="4">
        <f>IF(7&lt;=$W4,U4,U5)</f>
        <v>0</v>
      </c>
      <c r="V14" s="4">
        <f>IF(8&lt;=$W4,V4,V5)</f>
        <v>0</v>
      </c>
      <c r="W14" s="1"/>
    </row>
    <row r="15">
      <c r="O15" s="4">
        <f>IF(1&lt;=$W5,O5,O4)</f>
        <v>0</v>
      </c>
      <c r="P15" s="4">
        <f>IF(2&lt;=$W5,P5,P4)</f>
        <v>1</v>
      </c>
      <c r="Q15" s="4">
        <f>IF(3&lt;=$W5,Q5,Q4)</f>
        <v>1</v>
      </c>
      <c r="R15" s="4">
        <f>IF(4&lt;=$W5,R5,R4)</f>
        <v>0</v>
      </c>
      <c r="S15" s="4">
        <f>IF(5&lt;=$W5,S5,S4)</f>
        <v>1</v>
      </c>
      <c r="T15" s="4">
        <f>IF(6&lt;=$W5,T5,T4)</f>
        <v>1</v>
      </c>
      <c r="U15" s="4">
        <f>IF(7&lt;=$W5,U5,U4)</f>
        <v>1</v>
      </c>
      <c r="V15" s="4">
        <f>IF(8&lt;=$W5,V5,V4)</f>
        <v>1</v>
      </c>
    </row>
    <row r="16">
      <c r="O16" s="4">
        <f>IF(1&lt;=$W6,O6,O7)</f>
        <v>0</v>
      </c>
      <c r="P16" s="4">
        <f>IF(2&lt;=$W6,P6,P7)</f>
        <v>1</v>
      </c>
      <c r="Q16" s="4">
        <f>IF(3&lt;=$W6,Q6,Q7)</f>
        <v>1</v>
      </c>
      <c r="R16" s="4">
        <f>IF(4&lt;=$W6,R6,R7)</f>
        <v>1</v>
      </c>
      <c r="S16" s="4">
        <f>IF(5&lt;=$W6,S6,S7)</f>
        <v>0</v>
      </c>
      <c r="T16" s="4">
        <f>IF(6&lt;=$W6,T6,T7)</f>
        <v>1</v>
      </c>
      <c r="U16" s="4">
        <f>IF(7&lt;=$W6,U6,U7)</f>
        <v>0</v>
      </c>
      <c r="V16" s="4">
        <f>IF(8&lt;=$W6,V6,V7)</f>
        <v>1</v>
      </c>
    </row>
    <row r="17">
      <c r="O17" s="4">
        <f>IF(1&lt;=$W7,O7,O6)</f>
        <v>1</v>
      </c>
      <c r="P17" s="4">
        <f>IF(2&lt;=$W7,P7,P6)</f>
        <v>1</v>
      </c>
      <c r="Q17" s="4">
        <f>IF(3&lt;=$W7,Q7,Q6)</f>
        <v>0</v>
      </c>
      <c r="R17" s="4">
        <f>IF(4&lt;=$W7,R7,R6)</f>
        <v>1</v>
      </c>
      <c r="S17" s="4">
        <f>IF(5&lt;=$W7,S7,S6)</f>
        <v>1</v>
      </c>
      <c r="T17" s="4">
        <f>IF(6&lt;=$W7,T7,T6)</f>
        <v>1</v>
      </c>
      <c r="U17" s="4">
        <f>IF(7&lt;=$W7,U7,U6)</f>
        <v>0</v>
      </c>
      <c r="V17" s="4">
        <f>IF(8&lt;=$W7,V7,V6)</f>
        <v>0</v>
      </c>
    </row>
    <row r="18">
      <c r="O18" s="4">
        <f>IF(1&lt;=$W8,O8,O9)</f>
        <v>0</v>
      </c>
      <c r="P18" s="4">
        <f>IF(2&lt;=$W8,P8,P9)</f>
        <v>1</v>
      </c>
      <c r="Q18" s="4">
        <f>IF(3&lt;=$W8,Q8,Q9)</f>
        <v>0</v>
      </c>
      <c r="R18" s="4">
        <f>IF(4&lt;=$W8,R8,R9)</f>
        <v>1</v>
      </c>
      <c r="S18" s="4">
        <f>IF(5&lt;=$W8,S8,S9)</f>
        <v>0</v>
      </c>
      <c r="T18" s="4">
        <f>IF(6&lt;=$W8,T8,T9)</f>
        <v>1</v>
      </c>
      <c r="U18" s="4">
        <f>IF(7&lt;=$W8,U8,U9)</f>
        <v>1</v>
      </c>
      <c r="V18" s="4">
        <f>IF(8&lt;=$W8,V8,V9)</f>
        <v>1</v>
      </c>
    </row>
    <row r="19">
      <c r="O19" s="4">
        <f>IF(1&lt;=$W9,O9,O8)</f>
        <v>1</v>
      </c>
      <c r="P19" s="4">
        <f>IF(2&lt;=$W9,P9,P8)</f>
        <v>1</v>
      </c>
      <c r="Q19" s="4">
        <f>IF(3&lt;=$W9,Q9,Q8)</f>
        <v>0</v>
      </c>
      <c r="R19" s="4">
        <f>IF(4&lt;=$W9,R9,R8)</f>
        <v>1</v>
      </c>
      <c r="S19" s="4">
        <f>IF(5&lt;=$W9,S9,S8)</f>
        <v>1</v>
      </c>
      <c r="T19" s="4">
        <f>IF(6&lt;=$W9,T9,T8)</f>
        <v>0</v>
      </c>
      <c r="U19" s="4">
        <f>IF(7&lt;=$W9,U9,U8)</f>
        <v>0</v>
      </c>
      <c r="V19" s="4">
        <f>IF(8&lt;=$W9,V9,V8)</f>
        <v>1</v>
      </c>
    </row>
    <row r="20">
      <c r="O20" s="1" t="s">
        <v>8</v>
      </c>
      <c r="W20" s="2" t="s">
        <v>9</v>
      </c>
      <c r="X20" s="2" t="s">
        <v>10</v>
      </c>
      <c r="Y20" s="2" t="s">
        <v>2</v>
      </c>
    </row>
    <row r="21">
      <c r="O21" s="4">
        <f t="shared" ref="O21:V21" si="23">IF(RAND()&lt;0.05,1-O12,O12)</f>
        <v>0</v>
      </c>
      <c r="P21" s="4">
        <f t="shared" si="23"/>
        <v>1</v>
      </c>
      <c r="Q21" s="4">
        <f t="shared" si="23"/>
        <v>1</v>
      </c>
      <c r="R21" s="4">
        <f t="shared" si="23"/>
        <v>0</v>
      </c>
      <c r="S21" s="4">
        <f t="shared" si="23"/>
        <v>1</v>
      </c>
      <c r="T21" s="4">
        <f t="shared" si="23"/>
        <v>1</v>
      </c>
      <c r="U21" s="4">
        <f t="shared" si="23"/>
        <v>0</v>
      </c>
      <c r="V21" s="4">
        <f t="shared" si="23"/>
        <v>0</v>
      </c>
      <c r="W21" s="4">
        <f t="shared" ref="W21:W28" si="25">O21*128+P21*64+Q21*32+R21*16+S21*8+T21*4+U21*2+V21*1</f>
        <v>108</v>
      </c>
      <c r="X21" s="4">
        <f t="shared" ref="X21:X28" si="26">W21/255</f>
        <v>0.4235294118</v>
      </c>
      <c r="Y21" s="4">
        <f t="shared" ref="Y21:Y28" si="27">X21*SIN(10*PI()*X21)+1</f>
        <v>1.28532992</v>
      </c>
    </row>
    <row r="22">
      <c r="O22" s="4">
        <f t="shared" ref="O22:V22" si="24">IF(RAND()&lt;0.05,1-O13,O13)</f>
        <v>0</v>
      </c>
      <c r="P22" s="4">
        <f t="shared" si="24"/>
        <v>1</v>
      </c>
      <c r="Q22" s="4">
        <f t="shared" si="24"/>
        <v>1</v>
      </c>
      <c r="R22" s="4">
        <f t="shared" si="24"/>
        <v>1</v>
      </c>
      <c r="S22" s="4">
        <f t="shared" si="24"/>
        <v>0</v>
      </c>
      <c r="T22" s="4">
        <f t="shared" si="24"/>
        <v>1</v>
      </c>
      <c r="U22" s="4">
        <f t="shared" si="24"/>
        <v>1</v>
      </c>
      <c r="V22" s="4">
        <f t="shared" si="24"/>
        <v>1</v>
      </c>
      <c r="W22" s="4">
        <f t="shared" si="25"/>
        <v>119</v>
      </c>
      <c r="X22" s="4">
        <f t="shared" si="26"/>
        <v>0.4666666667</v>
      </c>
      <c r="Y22" s="4">
        <f t="shared" si="27"/>
        <v>1.404145188</v>
      </c>
    </row>
    <row r="23">
      <c r="O23" s="4">
        <f t="shared" ref="O23:V23" si="28">IF(RAND()&lt;0.05,1-O14,O14)</f>
        <v>0</v>
      </c>
      <c r="P23" s="4">
        <f t="shared" si="28"/>
        <v>1</v>
      </c>
      <c r="Q23" s="4">
        <f t="shared" si="28"/>
        <v>1</v>
      </c>
      <c r="R23" s="4">
        <f t="shared" si="28"/>
        <v>1</v>
      </c>
      <c r="S23" s="4">
        <f t="shared" si="28"/>
        <v>0</v>
      </c>
      <c r="T23" s="4">
        <f t="shared" si="28"/>
        <v>1</v>
      </c>
      <c r="U23" s="4">
        <f t="shared" si="28"/>
        <v>0</v>
      </c>
      <c r="V23" s="4">
        <f t="shared" si="28"/>
        <v>0</v>
      </c>
      <c r="W23" s="4">
        <f t="shared" si="25"/>
        <v>116</v>
      </c>
      <c r="X23" s="4">
        <f t="shared" si="26"/>
        <v>0.4549019608</v>
      </c>
      <c r="Y23" s="4">
        <f t="shared" si="27"/>
        <v>1.449518411</v>
      </c>
    </row>
    <row r="24">
      <c r="O24" s="4">
        <f t="shared" ref="O24:V24" si="29">IF(RAND()&lt;0.05,1-O15,O15)</f>
        <v>0</v>
      </c>
      <c r="P24" s="4">
        <f t="shared" si="29"/>
        <v>1</v>
      </c>
      <c r="Q24" s="4">
        <f t="shared" si="29"/>
        <v>1</v>
      </c>
      <c r="R24" s="4">
        <f t="shared" si="29"/>
        <v>0</v>
      </c>
      <c r="S24" s="4">
        <f t="shared" si="29"/>
        <v>1</v>
      </c>
      <c r="T24" s="4">
        <f t="shared" si="29"/>
        <v>1</v>
      </c>
      <c r="U24" s="4">
        <f t="shared" si="29"/>
        <v>1</v>
      </c>
      <c r="V24" s="4">
        <f t="shared" si="29"/>
        <v>0</v>
      </c>
      <c r="W24" s="4">
        <f t="shared" si="25"/>
        <v>110</v>
      </c>
      <c r="X24" s="4">
        <f t="shared" si="26"/>
        <v>0.431372549</v>
      </c>
      <c r="Y24" s="4">
        <f t="shared" si="27"/>
        <v>1.359593186</v>
      </c>
    </row>
    <row r="25">
      <c r="O25" s="4">
        <f t="shared" ref="O25:V25" si="30">IF(RAND()&lt;0.05,1-O16,O16)</f>
        <v>0</v>
      </c>
      <c r="P25" s="4">
        <f t="shared" si="30"/>
        <v>1</v>
      </c>
      <c r="Q25" s="4">
        <f t="shared" si="30"/>
        <v>1</v>
      </c>
      <c r="R25" s="4">
        <f t="shared" si="30"/>
        <v>1</v>
      </c>
      <c r="S25" s="4">
        <f t="shared" si="30"/>
        <v>0</v>
      </c>
      <c r="T25" s="4">
        <f t="shared" si="30"/>
        <v>1</v>
      </c>
      <c r="U25" s="4">
        <f t="shared" si="30"/>
        <v>0</v>
      </c>
      <c r="V25" s="4">
        <f t="shared" si="30"/>
        <v>1</v>
      </c>
      <c r="W25" s="4">
        <f t="shared" si="25"/>
        <v>117</v>
      </c>
      <c r="X25" s="4">
        <f t="shared" si="26"/>
        <v>0.4588235294</v>
      </c>
      <c r="Y25" s="4">
        <f t="shared" si="27"/>
        <v>1.441308236</v>
      </c>
    </row>
    <row r="26">
      <c r="O26" s="4">
        <f t="shared" ref="O26:V26" si="31">IF(RAND()&lt;0.05,1-O17,O17)</f>
        <v>1</v>
      </c>
      <c r="P26" s="4">
        <f t="shared" si="31"/>
        <v>1</v>
      </c>
      <c r="Q26" s="4">
        <f t="shared" si="31"/>
        <v>0</v>
      </c>
      <c r="R26" s="4">
        <f t="shared" si="31"/>
        <v>1</v>
      </c>
      <c r="S26" s="4">
        <f t="shared" si="31"/>
        <v>1</v>
      </c>
      <c r="T26" s="4">
        <f t="shared" si="31"/>
        <v>1</v>
      </c>
      <c r="U26" s="4">
        <f t="shared" si="31"/>
        <v>0</v>
      </c>
      <c r="V26" s="4">
        <f t="shared" si="31"/>
        <v>0</v>
      </c>
      <c r="W26" s="4">
        <f t="shared" si="25"/>
        <v>220</v>
      </c>
      <c r="X26" s="4">
        <f t="shared" si="26"/>
        <v>0.862745098</v>
      </c>
      <c r="Y26" s="4">
        <f t="shared" si="27"/>
        <v>1.794506721</v>
      </c>
    </row>
    <row r="27">
      <c r="O27" s="4">
        <f t="shared" ref="O27:V27" si="32">IF(RAND()&lt;0.05,1-O18,O18)</f>
        <v>0</v>
      </c>
      <c r="P27" s="4">
        <f t="shared" si="32"/>
        <v>1</v>
      </c>
      <c r="Q27" s="4">
        <f t="shared" si="32"/>
        <v>0</v>
      </c>
      <c r="R27" s="4">
        <f t="shared" si="32"/>
        <v>1</v>
      </c>
      <c r="S27" s="4">
        <f t="shared" si="32"/>
        <v>1</v>
      </c>
      <c r="T27" s="4">
        <f t="shared" si="32"/>
        <v>1</v>
      </c>
      <c r="U27" s="4">
        <f t="shared" si="32"/>
        <v>1</v>
      </c>
      <c r="V27" s="4">
        <f t="shared" si="32"/>
        <v>1</v>
      </c>
      <c r="W27" s="4">
        <f t="shared" si="25"/>
        <v>95</v>
      </c>
      <c r="X27" s="4">
        <f t="shared" si="26"/>
        <v>0.3725490196</v>
      </c>
      <c r="Y27" s="4">
        <f t="shared" si="27"/>
        <v>0.7170844428</v>
      </c>
    </row>
    <row r="28">
      <c r="O28" s="4">
        <f t="shared" ref="O28:V28" si="33">IF(RAND()&lt;0.05,1-O19,O19)</f>
        <v>1</v>
      </c>
      <c r="P28" s="4">
        <f t="shared" si="33"/>
        <v>1</v>
      </c>
      <c r="Q28" s="4">
        <f t="shared" si="33"/>
        <v>0</v>
      </c>
      <c r="R28" s="4">
        <f t="shared" si="33"/>
        <v>1</v>
      </c>
      <c r="S28" s="4">
        <f t="shared" si="33"/>
        <v>1</v>
      </c>
      <c r="T28" s="4">
        <f t="shared" si="33"/>
        <v>0</v>
      </c>
      <c r="U28" s="4">
        <f t="shared" si="33"/>
        <v>0</v>
      </c>
      <c r="V28" s="4">
        <f t="shared" si="33"/>
        <v>1</v>
      </c>
      <c r="W28" s="4">
        <f t="shared" si="25"/>
        <v>217</v>
      </c>
      <c r="X28" s="4">
        <f t="shared" si="26"/>
        <v>0.8509803922</v>
      </c>
      <c r="Y28" s="4">
        <f t="shared" si="27"/>
        <v>1.850576789</v>
      </c>
    </row>
    <row r="31">
      <c r="O31" s="2" t="s">
        <v>11</v>
      </c>
      <c r="Q31" s="2" t="s">
        <v>12</v>
      </c>
    </row>
    <row r="32">
      <c r="O32" s="4">
        <f>SUM(J2:J9)</f>
        <v>8.992432211</v>
      </c>
      <c r="Q32" s="4">
        <f>SUM(Y21:Y28)</f>
        <v>11.30206289</v>
      </c>
    </row>
  </sheetData>
  <mergeCells count="4">
    <mergeCell ref="A1:H1"/>
    <mergeCell ref="O1:U1"/>
    <mergeCell ref="O11:V11"/>
    <mergeCell ref="O20:V20"/>
  </mergeCells>
  <drawing r:id="rId1"/>
</worksheet>
</file>